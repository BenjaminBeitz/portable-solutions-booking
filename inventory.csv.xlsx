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ble Solutions - Inventory " sheetId="1" r:id="rId5"/>
    <sheet state="visible" name="Asset Profit Tracker " sheetId="2" r:id="rId6"/>
  </sheets>
  <definedNames/>
  <calcPr/>
</workbook>
</file>

<file path=xl/sharedStrings.xml><?xml version="1.0" encoding="utf-8"?>
<sst xmlns="http://schemas.openxmlformats.org/spreadsheetml/2006/main" count="198" uniqueCount="131">
  <si>
    <t>Portable Solutions Inventory Tracking</t>
  </si>
  <si>
    <t>--- INVENTORY DASHBOARD ---</t>
  </si>
  <si>
    <t>Unit ID</t>
  </si>
  <si>
    <t>Equipment Type</t>
  </si>
  <si>
    <t>Model/Description</t>
  </si>
  <si>
    <t>Current Status</t>
  </si>
  <si>
    <t>Latest Booking End Date</t>
  </si>
  <si>
    <t>PS2000-08</t>
  </si>
  <si>
    <t>Portable Power Station</t>
  </si>
  <si>
    <t>PS2000w Power station</t>
  </si>
  <si>
    <t>PS2000-07</t>
  </si>
  <si>
    <t>PS2000-06</t>
  </si>
  <si>
    <t>PS1800-05</t>
  </si>
  <si>
    <t>PS1800PRO Power station</t>
  </si>
  <si>
    <t>PS1800-04</t>
  </si>
  <si>
    <t>PS1800-03</t>
  </si>
  <si>
    <t>PS1800-09</t>
  </si>
  <si>
    <t>PS800-01</t>
  </si>
  <si>
    <t>PS800 Power station</t>
  </si>
  <si>
    <t>PS800-02</t>
  </si>
  <si>
    <t>EB1536-10</t>
  </si>
  <si>
    <t>Expansion Pack</t>
  </si>
  <si>
    <t>EB1536 Expansion pack</t>
  </si>
  <si>
    <t>EB1536-11</t>
  </si>
  <si>
    <t>SB360-09</t>
  </si>
  <si>
    <t>Solar Blanket</t>
  </si>
  <si>
    <t>360w solar blanket</t>
  </si>
  <si>
    <t>SB360-08</t>
  </si>
  <si>
    <t>SB360-07</t>
  </si>
  <si>
    <t>SB360-06</t>
  </si>
  <si>
    <t>SB360-05</t>
  </si>
  <si>
    <t>SB360-04</t>
  </si>
  <si>
    <t>SB200-03</t>
  </si>
  <si>
    <t>200w Solar Blanket</t>
  </si>
  <si>
    <t>SB200-02</t>
  </si>
  <si>
    <t>200w Solar blanket</t>
  </si>
  <si>
    <t>SB200-01</t>
  </si>
  <si>
    <t>K75-01</t>
  </si>
  <si>
    <t>Fridge/Freezer</t>
  </si>
  <si>
    <t>K 75L FF</t>
  </si>
  <si>
    <t>BM75-01</t>
  </si>
  <si>
    <t>BM 75L FF</t>
  </si>
  <si>
    <t>K40-01</t>
  </si>
  <si>
    <t>K40LFF</t>
  </si>
  <si>
    <t>AC-01</t>
  </si>
  <si>
    <t>Air Compressor</t>
  </si>
  <si>
    <t>ItechAC</t>
  </si>
  <si>
    <t>AC-02</t>
  </si>
  <si>
    <t>Lincoln AComp</t>
  </si>
  <si>
    <t>TBL-01</t>
  </si>
  <si>
    <t>Accessories</t>
  </si>
  <si>
    <t>6ft Folding table</t>
  </si>
  <si>
    <t>LGT-01</t>
  </si>
  <si>
    <t>Lighting</t>
  </si>
  <si>
    <t>ItechMagL</t>
  </si>
  <si>
    <t>LGT-02</t>
  </si>
  <si>
    <t>--- BOOKING LOG ---</t>
  </si>
  <si>
    <t>Booking ID</t>
  </si>
  <si>
    <t>Form Timestamp</t>
  </si>
  <si>
    <t>Customer Name</t>
  </si>
  <si>
    <t>Customer Contact</t>
  </si>
  <si>
    <t>Specific Unit ID</t>
  </si>
  <si>
    <t>Hire Start Date</t>
  </si>
  <si>
    <t>Hire End Date</t>
  </si>
  <si>
    <t>Current Hire Status</t>
  </si>
  <si>
    <t>Conflict Alert</t>
  </si>
  <si>
    <t>Calendar Event ID</t>
  </si>
  <si>
    <t>PS-001</t>
  </si>
  <si>
    <t>4/13/2026 10:00:00</t>
  </si>
  <si>
    <t>John Doe</t>
  </si>
  <si>
    <t>PS2000-01</t>
  </si>
  <si>
    <t>4/15/2026</t>
  </si>
  <si>
    <t>4/20/2026</t>
  </si>
  <si>
    <t>Booked</t>
  </si>
  <si>
    <t>PS-002</t>
  </si>
  <si>
    <t>4/13/2026 10:15:00</t>
  </si>
  <si>
    <t>Jane Smith</t>
  </si>
  <si>
    <t>jane@email.com</t>
  </si>
  <si>
    <t>4/19/2026</t>
  </si>
  <si>
    <t>4/22/2026</t>
  </si>
  <si>
    <t>Pending Review</t>
  </si>
  <si>
    <t>PS-003</t>
  </si>
  <si>
    <t>4/13/2026 11:00:00</t>
  </si>
  <si>
    <t>Bob Brown</t>
  </si>
  <si>
    <t>SB360-01</t>
  </si>
  <si>
    <t>4/16/2026</t>
  </si>
  <si>
    <t>4/18/2026</t>
  </si>
  <si>
    <t>Active Hire</t>
  </si>
  <si>
    <t>Asset List</t>
  </si>
  <si>
    <t>Initial purchase price</t>
  </si>
  <si>
    <t>Initial purchase date</t>
  </si>
  <si>
    <t>Total hires</t>
  </si>
  <si>
    <t>Total hire days</t>
  </si>
  <si>
    <t>PS2000-01 (PS2000w Power station)</t>
  </si>
  <si>
    <t>$1500</t>
  </si>
  <si>
    <t>PS2000-02 (PS2000w Power station)</t>
  </si>
  <si>
    <t>$1000</t>
  </si>
  <si>
    <t>PS2000-03 (PS2000w Power station)</t>
  </si>
  <si>
    <t>$1825</t>
  </si>
  <si>
    <t>PS1800-01 (PS1800PRO Power station)</t>
  </si>
  <si>
    <t>PS1800-02 (PS1800PRO Power station)</t>
  </si>
  <si>
    <t>$1049.58</t>
  </si>
  <si>
    <t>PS1800-03 (PS1800PRO Power station)</t>
  </si>
  <si>
    <t>PS1800-04 (PS1800PRO Power station)</t>
  </si>
  <si>
    <t>$1155.95</t>
  </si>
  <si>
    <t>PS800-01 (PS800 Power station)</t>
  </si>
  <si>
    <t>$1440</t>
  </si>
  <si>
    <t>PS800-02 (PS800 Power station)</t>
  </si>
  <si>
    <t>EB1536-01 (EB1536 Expansion pack)</t>
  </si>
  <si>
    <t>$616.155</t>
  </si>
  <si>
    <t>EB1536-02 (EB1536 Expansion pack)</t>
  </si>
  <si>
    <t>SB360-01 (360w solar blanket)</t>
  </si>
  <si>
    <t>SB360-02 (360w solar blanket)</t>
  </si>
  <si>
    <t>SB360-03 (360w solar blanket)</t>
  </si>
  <si>
    <t>SB360-04 (360w solar blanket)</t>
  </si>
  <si>
    <t>SB360-05 (360w solar blanket)</t>
  </si>
  <si>
    <t>SB360-06 (360w solar blanket)</t>
  </si>
  <si>
    <t>SB200-01 (200w Solar Blanket)</t>
  </si>
  <si>
    <t>SB200-02 (200w Solar blanket)</t>
  </si>
  <si>
    <t>SB200-03 (200w Solar Blanket)</t>
  </si>
  <si>
    <t>K75-01 (K 75L FF)</t>
  </si>
  <si>
    <t>BM75-01 (BM 75L FF)</t>
  </si>
  <si>
    <t>K40-01 (K40LFF)</t>
  </si>
  <si>
    <t>AC-01 (ItechAC)</t>
  </si>
  <si>
    <t>$774</t>
  </si>
  <si>
    <t>AC-02 (Lincoln AComp)</t>
  </si>
  <si>
    <t>TBL-01 (6ft Folding table)</t>
  </si>
  <si>
    <t>LGT-01 (ItechMagL)</t>
  </si>
  <si>
    <t>$35.10</t>
  </si>
  <si>
    <t>LGT-02 (ItechMagL)</t>
  </si>
  <si>
    <t>$35.1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</si>
</sst>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>
      <c r="A4" s="1" t="s">
        <v>7</v>
      </c>
      <c r="B4" s="1" t="s">
        <v>8</v>
      </c>
      <c r="C4" s="1" t="s">
        <v>9</v>
      </c>
      <c r="D4" s="2" t="str">
        <f t="shared" ref="D4:D31" si="1">IF(COUNTIFS($E:$E, $A4, $F:$F, "&lt;="&amp;TODAY(), $G:$G, "&gt;="&amp;TODAY())&gt;0, "On Hire", "In Stock")</f>
        <v>In Stock</v>
      </c>
      <c r="E4" s="2" t="str">
        <f t="shared" ref="E4:E31" si="2">MAXIFS($G:$G, $E:$E, $A4)</f>
        <v>#REF!</v>
      </c>
    </row>
    <row r="5">
      <c r="A5" s="1" t="s">
        <v>10</v>
      </c>
      <c r="B5" s="1" t="s">
        <v>8</v>
      </c>
      <c r="C5" s="1" t="s">
        <v>9</v>
      </c>
      <c r="D5" s="2" t="str">
        <f t="shared" si="1"/>
        <v>In Stock</v>
      </c>
      <c r="E5" s="2" t="str">
        <f t="shared" si="2"/>
        <v>#REF!</v>
      </c>
    </row>
    <row r="6">
      <c r="A6" s="1" t="s">
        <v>11</v>
      </c>
      <c r="B6" s="1" t="s">
        <v>8</v>
      </c>
      <c r="C6" s="1" t="s">
        <v>9</v>
      </c>
      <c r="D6" s="2" t="str">
        <f t="shared" si="1"/>
        <v>In Stock</v>
      </c>
      <c r="E6" s="2" t="str">
        <f t="shared" si="2"/>
        <v>#REF!</v>
      </c>
    </row>
    <row r="7">
      <c r="A7" s="1" t="s">
        <v>12</v>
      </c>
      <c r="B7" s="1" t="s">
        <v>8</v>
      </c>
      <c r="C7" s="1" t="s">
        <v>13</v>
      </c>
      <c r="D7" s="2" t="str">
        <f t="shared" si="1"/>
        <v>In Stock</v>
      </c>
      <c r="E7" s="2" t="str">
        <f t="shared" si="2"/>
        <v>#REF!</v>
      </c>
    </row>
    <row r="8">
      <c r="A8" s="1" t="s">
        <v>14</v>
      </c>
      <c r="B8" s="1" t="s">
        <v>8</v>
      </c>
      <c r="C8" s="1" t="s">
        <v>13</v>
      </c>
      <c r="D8" s="2" t="str">
        <f t="shared" si="1"/>
        <v>In Stock</v>
      </c>
      <c r="E8" s="2" t="str">
        <f t="shared" si="2"/>
        <v>#REF!</v>
      </c>
    </row>
    <row r="9">
      <c r="A9" s="1" t="s">
        <v>15</v>
      </c>
      <c r="B9" s="1" t="s">
        <v>8</v>
      </c>
      <c r="C9" s="1" t="s">
        <v>13</v>
      </c>
      <c r="D9" s="2" t="str">
        <f t="shared" si="1"/>
        <v>In Stock</v>
      </c>
      <c r="E9" s="2" t="str">
        <f t="shared" si="2"/>
        <v>#REF!</v>
      </c>
    </row>
    <row r="10">
      <c r="A10" s="1" t="s">
        <v>16</v>
      </c>
      <c r="B10" s="1" t="s">
        <v>8</v>
      </c>
      <c r="C10" s="1" t="s">
        <v>13</v>
      </c>
      <c r="D10" s="2" t="str">
        <f t="shared" si="1"/>
        <v>In Stock</v>
      </c>
      <c r="E10" s="2" t="str">
        <f t="shared" si="2"/>
        <v>#REF!</v>
      </c>
    </row>
    <row r="11">
      <c r="A11" s="1" t="s">
        <v>17</v>
      </c>
      <c r="B11" s="1" t="s">
        <v>8</v>
      </c>
      <c r="C11" s="1" t="s">
        <v>18</v>
      </c>
      <c r="D11" s="2" t="str">
        <f t="shared" si="1"/>
        <v>In Stock</v>
      </c>
      <c r="E11" s="2" t="str">
        <f t="shared" si="2"/>
        <v>#REF!</v>
      </c>
    </row>
    <row r="12">
      <c r="A12" s="1" t="s">
        <v>19</v>
      </c>
      <c r="B12" s="1" t="s">
        <v>8</v>
      </c>
      <c r="C12" s="1" t="s">
        <v>18</v>
      </c>
      <c r="D12" s="2" t="str">
        <f t="shared" si="1"/>
        <v>In Stock</v>
      </c>
      <c r="E12" s="2" t="str">
        <f t="shared" si="2"/>
        <v>#REF!</v>
      </c>
    </row>
    <row r="13">
      <c r="A13" s="1" t="s">
        <v>20</v>
      </c>
      <c r="B13" s="1" t="s">
        <v>21</v>
      </c>
      <c r="C13" s="1" t="s">
        <v>22</v>
      </c>
      <c r="D13" s="2" t="str">
        <f t="shared" si="1"/>
        <v>In Stock</v>
      </c>
      <c r="E13" s="2" t="str">
        <f t="shared" si="2"/>
        <v>#REF!</v>
      </c>
    </row>
    <row r="14">
      <c r="A14" s="1" t="s">
        <v>23</v>
      </c>
      <c r="B14" s="1" t="s">
        <v>21</v>
      </c>
      <c r="C14" s="1" t="s">
        <v>22</v>
      </c>
      <c r="D14" s="2" t="str">
        <f t="shared" si="1"/>
        <v>In Stock</v>
      </c>
      <c r="E14" s="2" t="str">
        <f t="shared" si="2"/>
        <v>#REF!</v>
      </c>
    </row>
    <row r="15">
      <c r="A15" s="1" t="s">
        <v>24</v>
      </c>
      <c r="B15" s="1" t="s">
        <v>25</v>
      </c>
      <c r="C15" s="1" t="s">
        <v>26</v>
      </c>
      <c r="D15" s="2" t="str">
        <f t="shared" si="1"/>
        <v>In Stock</v>
      </c>
      <c r="E15" s="2" t="str">
        <f t="shared" si="2"/>
        <v>#REF!</v>
      </c>
    </row>
    <row r="16">
      <c r="A16" s="1" t="s">
        <v>27</v>
      </c>
      <c r="B16" s="1" t="s">
        <v>25</v>
      </c>
      <c r="C16" s="1" t="s">
        <v>26</v>
      </c>
      <c r="D16" s="2" t="str">
        <f t="shared" si="1"/>
        <v>In Stock</v>
      </c>
      <c r="E16" s="2" t="str">
        <f t="shared" si="2"/>
        <v>#REF!</v>
      </c>
    </row>
    <row r="17">
      <c r="A17" s="1" t="s">
        <v>28</v>
      </c>
      <c r="B17" s="1" t="s">
        <v>25</v>
      </c>
      <c r="C17" s="1" t="s">
        <v>26</v>
      </c>
      <c r="D17" s="2" t="str">
        <f t="shared" si="1"/>
        <v>In Stock</v>
      </c>
      <c r="E17" s="2" t="str">
        <f t="shared" si="2"/>
        <v>#REF!</v>
      </c>
    </row>
    <row r="18">
      <c r="A18" s="1" t="s">
        <v>29</v>
      </c>
      <c r="B18" s="1" t="s">
        <v>25</v>
      </c>
      <c r="C18" s="1" t="s">
        <v>26</v>
      </c>
      <c r="D18" s="2" t="str">
        <f t="shared" si="1"/>
        <v>In Stock</v>
      </c>
      <c r="E18" s="2" t="str">
        <f t="shared" si="2"/>
        <v>#REF!</v>
      </c>
    </row>
    <row r="19">
      <c r="A19" s="1" t="s">
        <v>30</v>
      </c>
      <c r="B19" s="1" t="s">
        <v>25</v>
      </c>
      <c r="C19" s="1" t="s">
        <v>26</v>
      </c>
      <c r="D19" s="2" t="str">
        <f t="shared" si="1"/>
        <v>In Stock</v>
      </c>
      <c r="E19" s="2" t="str">
        <f t="shared" si="2"/>
        <v>#REF!</v>
      </c>
    </row>
    <row r="20">
      <c r="A20" s="1" t="s">
        <v>31</v>
      </c>
      <c r="B20" s="1" t="s">
        <v>25</v>
      </c>
      <c r="C20" s="1" t="s">
        <v>26</v>
      </c>
      <c r="D20" s="2" t="str">
        <f t="shared" si="1"/>
        <v>In Stock</v>
      </c>
      <c r="E20" s="2" t="str">
        <f t="shared" si="2"/>
        <v>#REF!</v>
      </c>
    </row>
    <row r="21">
      <c r="A21" s="1" t="s">
        <v>32</v>
      </c>
      <c r="B21" s="1" t="s">
        <v>25</v>
      </c>
      <c r="C21" s="1" t="s">
        <v>33</v>
      </c>
      <c r="D21" s="2" t="str">
        <f t="shared" si="1"/>
        <v>In Stock</v>
      </c>
      <c r="E21" s="2" t="str">
        <f t="shared" si="2"/>
        <v>#REF!</v>
      </c>
    </row>
    <row r="22">
      <c r="A22" s="1" t="s">
        <v>34</v>
      </c>
      <c r="B22" s="1" t="s">
        <v>25</v>
      </c>
      <c r="C22" s="1" t="s">
        <v>35</v>
      </c>
      <c r="D22" s="2" t="str">
        <f t="shared" si="1"/>
        <v>In Stock</v>
      </c>
      <c r="E22" s="2" t="str">
        <f t="shared" si="2"/>
        <v>#REF!</v>
      </c>
    </row>
    <row r="23">
      <c r="A23" s="1" t="s">
        <v>36</v>
      </c>
      <c r="B23" s="1" t="s">
        <v>25</v>
      </c>
      <c r="C23" s="1" t="s">
        <v>33</v>
      </c>
      <c r="D23" s="2" t="str">
        <f t="shared" si="1"/>
        <v>In Stock</v>
      </c>
      <c r="E23" s="2" t="str">
        <f t="shared" si="2"/>
        <v>#REF!</v>
      </c>
    </row>
    <row r="24">
      <c r="A24" s="1" t="s">
        <v>37</v>
      </c>
      <c r="B24" s="1" t="s">
        <v>38</v>
      </c>
      <c r="C24" s="1" t="s">
        <v>39</v>
      </c>
      <c r="D24" s="2" t="str">
        <f t="shared" si="1"/>
        <v>In Stock</v>
      </c>
      <c r="E24" s="2" t="str">
        <f t="shared" si="2"/>
        <v>#REF!</v>
      </c>
    </row>
    <row r="25">
      <c r="A25" s="1" t="s">
        <v>40</v>
      </c>
      <c r="B25" s="1" t="s">
        <v>38</v>
      </c>
      <c r="C25" s="1" t="s">
        <v>41</v>
      </c>
      <c r="D25" s="2" t="str">
        <f t="shared" si="1"/>
        <v>In Stock</v>
      </c>
      <c r="E25" s="2" t="str">
        <f t="shared" si="2"/>
        <v>#REF!</v>
      </c>
    </row>
    <row r="26">
      <c r="A26" s="1" t="s">
        <v>42</v>
      </c>
      <c r="B26" s="1" t="s">
        <v>38</v>
      </c>
      <c r="C26" s="1" t="s">
        <v>43</v>
      </c>
      <c r="D26" s="2" t="str">
        <f t="shared" si="1"/>
        <v>In Stock</v>
      </c>
      <c r="E26" s="2" t="str">
        <f t="shared" si="2"/>
        <v>#REF!</v>
      </c>
    </row>
    <row r="27">
      <c r="A27" s="1" t="s">
        <v>44</v>
      </c>
      <c r="B27" s="1" t="s">
        <v>45</v>
      </c>
      <c r="C27" s="1" t="s">
        <v>46</v>
      </c>
      <c r="D27" s="2" t="str">
        <f t="shared" si="1"/>
        <v>In Stock</v>
      </c>
      <c r="E27" s="2" t="str">
        <f t="shared" si="2"/>
        <v>#REF!</v>
      </c>
    </row>
    <row r="28">
      <c r="A28" s="1" t="s">
        <v>47</v>
      </c>
      <c r="B28" s="1" t="s">
        <v>45</v>
      </c>
      <c r="C28" s="1" t="s">
        <v>48</v>
      </c>
      <c r="D28" s="2" t="str">
        <f t="shared" si="1"/>
        <v>In Stock</v>
      </c>
      <c r="E28" s="2" t="str">
        <f t="shared" si="2"/>
        <v>#REF!</v>
      </c>
    </row>
    <row r="29">
      <c r="A29" s="1" t="s">
        <v>49</v>
      </c>
      <c r="B29" s="1" t="s">
        <v>50</v>
      </c>
      <c r="C29" s="1" t="s">
        <v>51</v>
      </c>
      <c r="D29" s="2" t="str">
        <f t="shared" si="1"/>
        <v>In Stock</v>
      </c>
      <c r="E29" s="2" t="str">
        <f t="shared" si="2"/>
        <v>#REF!</v>
      </c>
    </row>
    <row r="30">
      <c r="A30" s="1" t="s">
        <v>52</v>
      </c>
      <c r="B30" s="1" t="s">
        <v>53</v>
      </c>
      <c r="C30" s="1" t="s">
        <v>54</v>
      </c>
      <c r="D30" s="2" t="str">
        <f t="shared" si="1"/>
        <v>In Stock</v>
      </c>
      <c r="E30" s="2" t="str">
        <f t="shared" si="2"/>
        <v>#REF!</v>
      </c>
    </row>
    <row r="31">
      <c r="A31" s="1" t="s">
        <v>55</v>
      </c>
      <c r="B31" s="1" t="s">
        <v>53</v>
      </c>
      <c r="C31" s="1" t="s">
        <v>54</v>
      </c>
      <c r="D31" s="2" t="str">
        <f t="shared" si="1"/>
        <v>In Stock</v>
      </c>
      <c r="E31" s="2" t="str">
        <f t="shared" si="2"/>
        <v>#REF!</v>
      </c>
    </row>
    <row r="32">
      <c r="A32" s="1"/>
      <c r="B32" s="1"/>
      <c r="C32" s="1"/>
    </row>
    <row r="34">
      <c r="A34" s="1" t="s">
        <v>56</v>
      </c>
    </row>
    <row r="35">
      <c r="A35" s="1" t="s">
        <v>57</v>
      </c>
      <c r="B35" s="1" t="s">
        <v>58</v>
      </c>
      <c r="C35" s="1" t="s">
        <v>59</v>
      </c>
      <c r="D35" s="1" t="s">
        <v>60</v>
      </c>
      <c r="E35" s="1" t="s">
        <v>61</v>
      </c>
      <c r="F35" s="1" t="s">
        <v>62</v>
      </c>
      <c r="G35" s="1" t="s">
        <v>63</v>
      </c>
      <c r="H35" s="1" t="s">
        <v>64</v>
      </c>
      <c r="I35" s="1" t="s">
        <v>65</v>
      </c>
      <c r="J35" s="1" t="s">
        <v>66</v>
      </c>
    </row>
    <row r="36">
      <c r="A36" s="1" t="s">
        <v>67</v>
      </c>
      <c r="B36" s="1" t="s">
        <v>68</v>
      </c>
      <c r="C36" s="1" t="s">
        <v>69</v>
      </c>
      <c r="D36" s="1">
        <v>4.0E8</v>
      </c>
      <c r="E36" s="1" t="s">
        <v>70</v>
      </c>
      <c r="F36" s="1" t="s">
        <v>71</v>
      </c>
      <c r="G36" s="1" t="s">
        <v>72</v>
      </c>
      <c r="H36" s="1" t="s">
        <v>73</v>
      </c>
      <c r="I36" s="2" t="str">
        <f t="shared" ref="I36:I38" si="3">IF(ISBLANK($E36), "", IF(COUNTIFS($E:$E, $E36, $F:$F, "&lt;="&amp;$G36, $G:$G, "&gt;="&amp;$F36)&gt;1, "⚠️ OVERLAP", "OK"))</f>
        <v>⚠️ OVERLAP</v>
      </c>
    </row>
    <row r="37">
      <c r="A37" s="1" t="s">
        <v>74</v>
      </c>
      <c r="B37" s="1" t="s">
        <v>75</v>
      </c>
      <c r="C37" s="1" t="s">
        <v>76</v>
      </c>
      <c r="D37" s="1" t="s">
        <v>77</v>
      </c>
      <c r="E37" s="1" t="s">
        <v>70</v>
      </c>
      <c r="F37" s="1" t="s">
        <v>78</v>
      </c>
      <c r="G37" s="1" t="s">
        <v>79</v>
      </c>
      <c r="H37" s="1" t="s">
        <v>80</v>
      </c>
      <c r="I37" s="2" t="str">
        <f t="shared" si="3"/>
        <v>⚠️ OVERLAP</v>
      </c>
    </row>
    <row r="38">
      <c r="A38" s="1" t="s">
        <v>81</v>
      </c>
      <c r="B38" s="1" t="s">
        <v>82</v>
      </c>
      <c r="C38" s="1" t="s">
        <v>83</v>
      </c>
      <c r="D38" s="1">
        <v>4.00111222E8</v>
      </c>
      <c r="E38" s="1" t="s">
        <v>84</v>
      </c>
      <c r="F38" s="1" t="s">
        <v>85</v>
      </c>
      <c r="G38" s="1" t="s">
        <v>86</v>
      </c>
      <c r="H38" s="1" t="s">
        <v>87</v>
      </c>
      <c r="I38" s="2" t="str">
        <f t="shared" si="3"/>
        <v>OK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30.88"/>
    <col customWidth="1" min="3" max="3" width="16.38"/>
    <col customWidth="1" min="4" max="4" width="16.88"/>
  </cols>
  <sheetData>
    <row r="1">
      <c r="A1" s="1" t="s">
        <v>2</v>
      </c>
      <c r="B1" s="3" t="s">
        <v>88</v>
      </c>
      <c r="C1" s="3" t="s">
        <v>89</v>
      </c>
      <c r="D1" s="3" t="s">
        <v>90</v>
      </c>
      <c r="E1" s="3" t="s">
        <v>91</v>
      </c>
      <c r="F1" s="3" t="s">
        <v>92</v>
      </c>
    </row>
    <row r="2">
      <c r="A2" s="1" t="s">
        <v>7</v>
      </c>
      <c r="B2" s="4" t="s">
        <v>93</v>
      </c>
      <c r="C2" s="5" t="s">
        <v>94</v>
      </c>
      <c r="D2" s="3"/>
      <c r="E2" s="3"/>
      <c r="F2" s="3"/>
    </row>
    <row r="3">
      <c r="A3" s="1" t="s">
        <v>10</v>
      </c>
      <c r="B3" s="4" t="s">
        <v>95</v>
      </c>
      <c r="C3" s="5" t="s">
        <v>96</v>
      </c>
      <c r="D3" s="3"/>
      <c r="E3" s="3"/>
      <c r="F3" s="3"/>
    </row>
    <row r="4">
      <c r="A4" s="1" t="s">
        <v>11</v>
      </c>
      <c r="B4" s="4" t="s">
        <v>97</v>
      </c>
      <c r="C4" s="5" t="s">
        <v>98</v>
      </c>
      <c r="D4" s="3"/>
      <c r="E4" s="3"/>
      <c r="F4" s="3"/>
    </row>
    <row r="5">
      <c r="A5" s="1" t="s">
        <v>12</v>
      </c>
      <c r="B5" s="4" t="s">
        <v>99</v>
      </c>
      <c r="C5" s="3"/>
      <c r="D5" s="3"/>
      <c r="E5" s="3"/>
      <c r="F5" s="3"/>
    </row>
    <row r="6">
      <c r="A6" s="1" t="s">
        <v>14</v>
      </c>
      <c r="B6" s="4" t="s">
        <v>100</v>
      </c>
      <c r="C6" s="5" t="s">
        <v>101</v>
      </c>
      <c r="D6" s="3"/>
      <c r="E6" s="3"/>
      <c r="F6" s="3"/>
    </row>
    <row r="7">
      <c r="A7" s="1" t="s">
        <v>15</v>
      </c>
      <c r="B7" s="4" t="s">
        <v>102</v>
      </c>
      <c r="C7" s="3"/>
      <c r="D7" s="3"/>
      <c r="E7" s="3"/>
      <c r="F7" s="3"/>
    </row>
    <row r="8">
      <c r="A8" s="1" t="s">
        <v>16</v>
      </c>
      <c r="B8" s="4" t="s">
        <v>103</v>
      </c>
      <c r="C8" s="5" t="s">
        <v>104</v>
      </c>
      <c r="D8" s="3"/>
      <c r="E8" s="3"/>
      <c r="F8" s="3"/>
    </row>
    <row r="9">
      <c r="A9" s="1" t="s">
        <v>17</v>
      </c>
      <c r="B9" s="4" t="s">
        <v>105</v>
      </c>
      <c r="C9" s="5" t="s">
        <v>106</v>
      </c>
      <c r="D9" s="3"/>
      <c r="E9" s="3"/>
      <c r="F9" s="3"/>
    </row>
    <row r="10">
      <c r="A10" s="1" t="s">
        <v>19</v>
      </c>
      <c r="B10" s="4" t="s">
        <v>107</v>
      </c>
      <c r="C10" s="5" t="s">
        <v>106</v>
      </c>
      <c r="D10" s="3"/>
      <c r="E10" s="3"/>
      <c r="F10" s="3"/>
    </row>
    <row r="11">
      <c r="A11" s="1" t="s">
        <v>20</v>
      </c>
      <c r="B11" s="4" t="s">
        <v>108</v>
      </c>
      <c r="C11" s="5" t="s">
        <v>109</v>
      </c>
      <c r="D11" s="3"/>
      <c r="E11" s="3"/>
      <c r="F11" s="3"/>
    </row>
    <row r="12">
      <c r="A12" s="1" t="s">
        <v>23</v>
      </c>
      <c r="B12" s="4" t="s">
        <v>110</v>
      </c>
      <c r="C12" s="5" t="s">
        <v>109</v>
      </c>
      <c r="D12" s="3"/>
      <c r="E12" s="3"/>
      <c r="F12" s="3"/>
    </row>
    <row r="13">
      <c r="A13" s="1" t="s">
        <v>24</v>
      </c>
      <c r="B13" s="4" t="s">
        <v>111</v>
      </c>
      <c r="C13" s="3"/>
      <c r="D13" s="3"/>
      <c r="E13" s="3"/>
      <c r="F13" s="3"/>
    </row>
    <row r="14">
      <c r="A14" s="1" t="s">
        <v>27</v>
      </c>
      <c r="B14" s="4" t="s">
        <v>112</v>
      </c>
      <c r="C14" s="3"/>
      <c r="D14" s="3"/>
      <c r="E14" s="3"/>
      <c r="F14" s="3"/>
    </row>
    <row r="15">
      <c r="A15" s="1" t="s">
        <v>28</v>
      </c>
      <c r="B15" s="4" t="s">
        <v>113</v>
      </c>
      <c r="C15" s="3"/>
      <c r="D15" s="3"/>
      <c r="E15" s="3"/>
      <c r="F15" s="3"/>
    </row>
    <row r="16">
      <c r="A16" s="1" t="s">
        <v>29</v>
      </c>
      <c r="B16" s="4" t="s">
        <v>114</v>
      </c>
      <c r="C16" s="3"/>
      <c r="D16" s="3"/>
      <c r="E16" s="3"/>
      <c r="F16" s="3"/>
    </row>
    <row r="17">
      <c r="A17" s="1" t="s">
        <v>30</v>
      </c>
      <c r="B17" s="4" t="s">
        <v>115</v>
      </c>
      <c r="C17" s="3"/>
      <c r="D17" s="3"/>
      <c r="E17" s="3"/>
      <c r="F17" s="3"/>
    </row>
    <row r="18">
      <c r="A18" s="1" t="s">
        <v>31</v>
      </c>
      <c r="B18" s="4" t="s">
        <v>116</v>
      </c>
      <c r="C18" s="3"/>
      <c r="D18" s="3"/>
      <c r="E18" s="3"/>
      <c r="F18" s="3"/>
    </row>
    <row r="19">
      <c r="A19" s="1" t="s">
        <v>32</v>
      </c>
      <c r="B19" s="4" t="s">
        <v>117</v>
      </c>
      <c r="C19" s="3"/>
      <c r="D19" s="3"/>
      <c r="E19" s="3"/>
      <c r="F19" s="3"/>
    </row>
    <row r="20">
      <c r="A20" s="1" t="s">
        <v>34</v>
      </c>
      <c r="B20" s="4" t="s">
        <v>118</v>
      </c>
      <c r="C20" s="3"/>
      <c r="D20" s="3"/>
      <c r="E20" s="3"/>
      <c r="F20" s="3"/>
    </row>
    <row r="21">
      <c r="A21" s="1" t="s">
        <v>36</v>
      </c>
      <c r="B21" s="4" t="s">
        <v>119</v>
      </c>
      <c r="C21" s="3"/>
      <c r="D21" s="3"/>
      <c r="E21" s="3"/>
      <c r="F21" s="3"/>
    </row>
    <row r="22">
      <c r="A22" s="1" t="s">
        <v>37</v>
      </c>
      <c r="B22" s="4" t="s">
        <v>120</v>
      </c>
      <c r="C22" s="3"/>
      <c r="D22" s="3"/>
      <c r="E22" s="3"/>
      <c r="F22" s="3"/>
    </row>
    <row r="23">
      <c r="A23" s="1" t="s">
        <v>40</v>
      </c>
      <c r="B23" s="4" t="s">
        <v>121</v>
      </c>
      <c r="C23" s="3"/>
      <c r="D23" s="3"/>
      <c r="E23" s="3"/>
      <c r="F23" s="3"/>
    </row>
    <row r="24">
      <c r="A24" s="1" t="s">
        <v>42</v>
      </c>
      <c r="B24" s="4" t="s">
        <v>122</v>
      </c>
      <c r="C24" s="3"/>
      <c r="D24" s="3"/>
      <c r="E24" s="3"/>
      <c r="F24" s="3"/>
    </row>
    <row r="25">
      <c r="A25" s="1" t="s">
        <v>44</v>
      </c>
      <c r="B25" s="3" t="s">
        <v>123</v>
      </c>
      <c r="C25" s="5" t="s">
        <v>124</v>
      </c>
      <c r="D25" s="3"/>
      <c r="E25" s="3"/>
      <c r="F25" s="3"/>
    </row>
    <row r="26">
      <c r="A26" s="1" t="s">
        <v>47</v>
      </c>
      <c r="B26" s="4" t="s">
        <v>125</v>
      </c>
      <c r="C26" s="3"/>
      <c r="D26" s="3"/>
      <c r="E26" s="3"/>
      <c r="F26" s="3"/>
    </row>
    <row r="27">
      <c r="A27" s="1" t="s">
        <v>49</v>
      </c>
      <c r="B27" s="4" t="s">
        <v>126</v>
      </c>
      <c r="C27" s="3"/>
      <c r="D27" s="3"/>
      <c r="E27" s="3"/>
      <c r="F27" s="3"/>
    </row>
    <row r="28">
      <c r="A28" s="1" t="s">
        <v>52</v>
      </c>
      <c r="B28" s="4" t="s">
        <v>127</v>
      </c>
      <c r="C28" s="5" t="s">
        <v>128</v>
      </c>
      <c r="D28" s="3"/>
      <c r="E28" s="3"/>
      <c r="F28" s="3"/>
    </row>
    <row r="29">
      <c r="A29" s="1" t="s">
        <v>55</v>
      </c>
      <c r="B29" s="4" t="s">
        <v>129</v>
      </c>
      <c r="C29" s="5" t="s">
        <v>130</v>
      </c>
      <c r="D29" s="3"/>
      <c r="E29" s="3"/>
      <c r="F29" s="3"/>
    </row>
  </sheetData>
  <drawing r:id="rId1"/>
</worksheet>
</file>